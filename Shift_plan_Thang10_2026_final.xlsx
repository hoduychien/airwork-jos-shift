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ang 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<sst xmlns="http://schemas.openxmlformats.org/spreadsheetml/2006/main" count="409" uniqueCount="76">
  <si>
    <t xml:space="preserve">SHIFT PLAN - THÁNG 10/2026</t>
  </si>
  <si>
    <t xml:space="preserve">No</t>
  </si>
  <si>
    <t xml:space="preserve">PIC</t>
  </si>
  <si>
    <t xml:space="preserve">1/10</t>
  </si>
  <si>
    <t xml:space="preserve">2/10</t>
  </si>
  <si>
    <t xml:space="preserve">3/10</t>
  </si>
  <si>
    <t xml:space="preserve">4/10</t>
  </si>
  <si>
    <t xml:space="preserve">5/10</t>
  </si>
  <si>
    <t xml:space="preserve">6/10</t>
  </si>
  <si>
    <t xml:space="preserve">7/10</t>
  </si>
  <si>
    <t xml:space="preserve">8/10</t>
  </si>
  <si>
    <t xml:space="preserve">9/10</t>
  </si>
  <si>
    <t xml:space="preserve">10/10</t>
  </si>
  <si>
    <t xml:space="preserve">11/10</t>
  </si>
  <si>
    <t xml:space="preserve">12/10</t>
  </si>
  <si>
    <t xml:space="preserve">13/10</t>
  </si>
  <si>
    <t xml:space="preserve">14/10</t>
  </si>
  <si>
    <t xml:space="preserve">15/10</t>
  </si>
  <si>
    <t xml:space="preserve">16/10</t>
  </si>
  <si>
    <t xml:space="preserve">17/10</t>
  </si>
  <si>
    <t xml:space="preserve">18/10</t>
  </si>
  <si>
    <t xml:space="preserve">19/10</t>
  </si>
  <si>
    <t xml:space="preserve">20/10</t>
  </si>
  <si>
    <t xml:space="preserve">21/10</t>
  </si>
  <si>
    <t xml:space="preserve">22/10</t>
  </si>
  <si>
    <t xml:space="preserve">23/10</t>
  </si>
  <si>
    <t xml:space="preserve">24/10</t>
  </si>
  <si>
    <t xml:space="preserve">25/10</t>
  </si>
  <si>
    <t xml:space="preserve">26/10</t>
  </si>
  <si>
    <t xml:space="preserve">27/10</t>
  </si>
  <si>
    <t xml:space="preserve">28/10</t>
  </si>
  <si>
    <t xml:space="preserve">29/10</t>
  </si>
  <si>
    <t xml:space="preserve">30/10</t>
  </si>
  <si>
    <t xml:space="preserve">31/10</t>
  </si>
  <si>
    <t xml:space="preserve">Count</t>
  </si>
  <si>
    <t xml:space="preserve">Day Off</t>
  </si>
  <si>
    <t xml:space="preserve">SUM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</si>
  <si>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</si>
  <si>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</si>
  <si>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</si>
  <si>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</si>
  <si>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Thứ Hai</t>
  </si>
  <si>
    <t xml:space="preserve">Thứ Ba</t>
  </si>
  <si>
    <t xml:space="preserve">Thứ Tư</t>
  </si>
  <si>
    <t xml:space="preserve">S1</t>
  </si>
  <si>
    <t xml:space="preserve">S2</t>
  </si>
  <si>
    <t xml:space="preserve">S3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</si>
  <si>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</si>
  <si>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</si>
  <si>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</si>
  <si>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</si>
  <si>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</si>
  <si>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火</t>
  </si>
  <si>
    <t xml:space="preserve">水</t>
  </si>
  <si>
    <t xml:space="preserve">QuangPK1</t>
  </si>
  <si>
    <t xml:space="preserve">OFF</t>
  </si>
  <si>
    <t xml:space="preserve">VuNL4</t>
  </si>
  <si>
    <t xml:space="preserve">TruongPT16</t>
  </si>
  <si>
    <t xml:space="preserve">HungLQ33</t>
  </si>
  <si>
    <t xml:space="preserve">ChienHD2</t>
  </si>
  <si>
    <t xml:space="preserve">QuanPD7</t>
  </si>
  <si>
    <t xml:space="preserve">AnhND191</t>
  </si>
  <si>
    <t xml:space="preserve">ThongDV3</t>
  </si>
  <si>
    <t xml:space="preserve">ThaiDTD1</t>
  </si>
  <si>
    <t xml:space="preserve">Summary</t>
  </si>
  <si>
    <t xml:space="preserve">TOTAL</t>
  </si>
  <si>
    <t xml:space="preserve">Min/shift = 2</t>
  </si>
  <si>
    <t xml:space="preserve">6:00 - 14:00 VNT</t>
  </si>
  <si>
    <t xml:space="preserve">14:00 - 22:00 VNT</t>
  </si>
  <si>
    <t xml:space="preserve">22:00 - 6:00 VNT</t>
  </si>
  <si>
    <t xml:space="preserve">Ngày nghỉ</t>
  </si>
  <si>
    <t xml:space="preserve">Đi sớm 10 mins mỗi ca để Handover</t>
  </si>
  <si>
    <t xml:space="preserve">Nguyên tắc nghỉ ngơi: mỗi người làm 1 ca xuyên suốt (2-5 ngày), nghỉ 1-2 ngày rồi mới đổi sang ca khác</t>
  </si>
  <si>
    <t xml:space="preserve">Nhờ đó không còn trường hợp S2-&gt;S1 hay S3-&gt;S2 ngày liền kề; nghỉ giữa 2 ngày làm luôn = 16 tiếng (&gt; 8 tiếng)</t>
  </si>
  <si>
    <t xml:space="preserve">QuangPK1 &amp; ChienHD2 ưu tiên ca đêm: 16 ca S3 + 2 ca S1 + 2 ca S2 mỗi người</t>
  </si>
  <si>
    <t xml:space="preserve">QuanPD7 không làm ca đêm. Đã bỏ SG khỏi lịch.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</si>
</sst>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6E0B4"/>
      </patternFill>
    </fill>
    <fill>
      <patternFill patternType="solid">
        <fgColor rgb="FF92D050"/>
        <bgColor rgb="FFC6E0B4"/>
      </patternFill>
    </fill>
    <fill>
      <patternFill patternType="solid">
        <fgColor rgb="FFED7D31"/>
        <bgColor rgb="FFFF8080"/>
      </patternFill>
    </fill>
    <fill>
      <patternFill patternType="solid">
        <fgColor rgb="FF404040"/>
        <bgColor rgb="FF333300"/>
      </patternFill>
    </fill>
    <fill>
      <patternFill patternType="solid">
        <fgColor rgb="FFC6E0B4"/>
        <bgColor rgb="FFD9D9D9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 diagonalUp="false" diagonalDown="false"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ED7D31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"/>
    <col collapsed="false" customWidth="true" hidden="false" outlineLevel="0" max="33" min="3" style="1" width="7.5"/>
    <col collapsed="false" customWidth="true" hidden="false" outlineLevel="0" max="38" min="34" style="1" width="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 t="s">
        <v>19</v>
      </c>
      <c r="T2" s="4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4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5" t="s">
        <v>34</v>
      </c>
      <c r="AI2" s="5"/>
      <c r="AJ2" s="5"/>
      <c r="AK2" s="5" t="s">
        <v>35</v>
      </c>
      <c r="AL2" s="5" t="s">
        <v>36</v>
      </c>
    </row>
    <row r="3" customFormat="false" ht="15" hidden="false" customHeight="true" outlineLevel="0" collapsed="false">
      <c r="A3" s="3"/>
      <c r="B3" s="3"/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  <c r="W3" s="3" t="s">
        <v>43</v>
      </c>
      <c r="X3" s="3" t="s">
        <v>37</v>
      </c>
      <c r="Y3" s="3" t="s">
        <v>38</v>
      </c>
      <c r="Z3" s="3" t="s">
        <v>39</v>
      </c>
      <c r="AA3" s="3" t="s">
        <v>40</v>
      </c>
      <c r="AB3" s="3" t="s">
        <v>41</v>
      </c>
      <c r="AC3" s="3" t="s">
        <v>42</v>
      </c>
      <c r="AD3" s="3" t="s">
        <v>43</v>
      </c>
      <c r="AE3" s="3" t="s">
        <v>37</v>
      </c>
      <c r="AF3" s="3" t="s">
        <v>38</v>
      </c>
      <c r="AG3" s="3" t="s">
        <v>39</v>
      </c>
      <c r="AH3" s="4" t="s">
        <v>44</v>
      </c>
      <c r="AI3" s="6" t="s">
        <v>45</v>
      </c>
      <c r="AJ3" s="7" t="s">
        <v>46</v>
      </c>
      <c r="AK3" s="5"/>
      <c r="AL3" s="5"/>
    </row>
    <row r="4" customFormat="false" ht="15" hidden="false" customHeight="true" outlineLevel="0" collapsed="false">
      <c r="A4" s="3"/>
      <c r="B4" s="3"/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47</v>
      </c>
      <c r="K4" s="8" t="s">
        <v>48</v>
      </c>
      <c r="L4" s="8" t="s">
        <v>49</v>
      </c>
      <c r="M4" s="8" t="s">
        <v>50</v>
      </c>
      <c r="N4" s="8" t="s">
        <v>51</v>
      </c>
      <c r="O4" s="8" t="s">
        <v>52</v>
      </c>
      <c r="P4" s="8" t="s">
        <v>53</v>
      </c>
      <c r="Q4" s="8" t="s">
        <v>47</v>
      </c>
      <c r="R4" s="8" t="s">
        <v>48</v>
      </c>
      <c r="S4" s="8" t="s">
        <v>49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52</v>
      </c>
      <c r="AD4" s="8" t="s">
        <v>53</v>
      </c>
      <c r="AE4" s="8" t="s">
        <v>47</v>
      </c>
      <c r="AF4" s="8" t="s">
        <v>48</v>
      </c>
      <c r="AG4" s="8" t="s">
        <v>49</v>
      </c>
      <c r="AH4" s="9"/>
      <c r="AI4" s="9"/>
      <c r="AJ4" s="9"/>
      <c r="AK4" s="9"/>
      <c r="AL4" s="9"/>
    </row>
    <row r="5" customFormat="false" ht="15" hidden="false" customHeight="true" outlineLevel="0" collapsed="false">
      <c r="A5" s="5" t="n">
        <v>1</v>
      </c>
      <c r="B5" s="10" t="s">
        <v>54</v>
      </c>
      <c r="C5" s="11" t="s">
        <v>44</v>
      </c>
      <c r="D5" s="11" t="s">
        <v>44</v>
      </c>
      <c r="E5" s="9" t="s">
        <v>55</v>
      </c>
      <c r="F5" s="12" t="s">
        <v>45</v>
      </c>
      <c r="G5" s="12" t="s">
        <v>45</v>
      </c>
      <c r="H5" s="9" t="s">
        <v>55</v>
      </c>
      <c r="I5" s="13" t="s">
        <v>46</v>
      </c>
      <c r="J5" s="13" t="s">
        <v>46</v>
      </c>
      <c r="K5" s="9" t="s">
        <v>55</v>
      </c>
      <c r="L5" s="13" t="s">
        <v>46</v>
      </c>
      <c r="M5" s="13" t="s">
        <v>46</v>
      </c>
      <c r="N5" s="13" t="s">
        <v>46</v>
      </c>
      <c r="O5" s="9" t="s">
        <v>55</v>
      </c>
      <c r="P5" s="9" t="s">
        <v>55</v>
      </c>
      <c r="Q5" s="13" t="s">
        <v>46</v>
      </c>
      <c r="R5" s="13" t="s">
        <v>46</v>
      </c>
      <c r="S5" s="9" t="s">
        <v>55</v>
      </c>
      <c r="T5" s="9" t="s">
        <v>55</v>
      </c>
      <c r="U5" s="13" t="s">
        <v>46</v>
      </c>
      <c r="V5" s="13" t="s">
        <v>46</v>
      </c>
      <c r="W5" s="13" t="s">
        <v>46</v>
      </c>
      <c r="X5" s="9" t="s">
        <v>55</v>
      </c>
      <c r="Y5" s="9" t="s">
        <v>55</v>
      </c>
      <c r="Z5" s="13" t="s">
        <v>46</v>
      </c>
      <c r="AA5" s="13" t="s">
        <v>46</v>
      </c>
      <c r="AB5" s="13" t="s">
        <v>46</v>
      </c>
      <c r="AC5" s="13" t="s">
        <v>46</v>
      </c>
      <c r="AD5" s="13" t="s">
        <v>46</v>
      </c>
      <c r="AE5" s="9" t="s">
        <v>55</v>
      </c>
      <c r="AF5" s="9" t="s">
        <v>55</v>
      </c>
      <c r="AG5" s="13" t="s">
        <v>46</v>
      </c>
      <c r="AH5" s="9" t="n">
        <f aca="false">COUNTIF(C5:AG5,"S1")</f>
        <v>2</v>
      </c>
      <c r="AI5" s="9" t="n">
        <f aca="false">COUNTIF(C5:AG5,"S2")</f>
        <v>2</v>
      </c>
      <c r="AJ5" s="9" t="n">
        <f aca="false">COUNTIF(C5:AG5,"S3")</f>
        <v>16</v>
      </c>
      <c r="AK5" s="14" t="n">
        <f aca="false">COUNTIF(C5:AG5,"OFF")</f>
        <v>11</v>
      </c>
      <c r="AL5" s="15" t="n">
        <f aca="false">AH5+AI5+AJ5</f>
        <v>20</v>
      </c>
    </row>
    <row r="6" customFormat="false" ht="15" hidden="false" customHeight="true" outlineLevel="0" collapsed="false">
      <c r="A6" s="5" t="n">
        <v>2</v>
      </c>
      <c r="B6" s="10" t="s">
        <v>56</v>
      </c>
      <c r="C6" s="13" t="s">
        <v>46</v>
      </c>
      <c r="D6" s="13" t="s">
        <v>46</v>
      </c>
      <c r="E6" s="13" t="s">
        <v>46</v>
      </c>
      <c r="F6" s="9" t="s">
        <v>55</v>
      </c>
      <c r="G6" s="11" t="s">
        <v>44</v>
      </c>
      <c r="H6" s="11" t="s">
        <v>44</v>
      </c>
      <c r="I6" s="9" t="s">
        <v>55</v>
      </c>
      <c r="J6" s="13" t="s">
        <v>46</v>
      </c>
      <c r="K6" s="13" t="s">
        <v>46</v>
      </c>
      <c r="L6" s="9" t="s">
        <v>55</v>
      </c>
      <c r="M6" s="11" t="s">
        <v>44</v>
      </c>
      <c r="N6" s="11" t="s">
        <v>44</v>
      </c>
      <c r="O6" s="11" t="s">
        <v>44</v>
      </c>
      <c r="P6" s="9" t="s">
        <v>55</v>
      </c>
      <c r="Q6" s="9" t="s">
        <v>55</v>
      </c>
      <c r="R6" s="12" t="s">
        <v>45</v>
      </c>
      <c r="S6" s="12" t="s">
        <v>45</v>
      </c>
      <c r="T6" s="12" t="s">
        <v>45</v>
      </c>
      <c r="U6" s="12" t="s">
        <v>45</v>
      </c>
      <c r="V6" s="9" t="s">
        <v>55</v>
      </c>
      <c r="W6" s="9" t="s">
        <v>55</v>
      </c>
      <c r="X6" s="12" t="s">
        <v>45</v>
      </c>
      <c r="Y6" s="12" t="s">
        <v>45</v>
      </c>
      <c r="Z6" s="12" t="s">
        <v>45</v>
      </c>
      <c r="AA6" s="12" t="s">
        <v>45</v>
      </c>
      <c r="AB6" s="9" t="s">
        <v>55</v>
      </c>
      <c r="AC6" s="9" t="s">
        <v>55</v>
      </c>
      <c r="AD6" s="11" t="s">
        <v>44</v>
      </c>
      <c r="AE6" s="11" t="s">
        <v>44</v>
      </c>
      <c r="AF6" s="11" t="s">
        <v>44</v>
      </c>
      <c r="AG6" s="9" t="s">
        <v>55</v>
      </c>
      <c r="AH6" s="9" t="n">
        <f aca="false">COUNTIF(C6:AG6,"S1")</f>
        <v>8</v>
      </c>
      <c r="AI6" s="9" t="n">
        <f aca="false">COUNTIF(C6:AG6,"S2")</f>
        <v>8</v>
      </c>
      <c r="AJ6" s="9" t="n">
        <f aca="false">COUNTIF(C6:AG6,"S3")</f>
        <v>5</v>
      </c>
      <c r="AK6" s="14" t="n">
        <f aca="false">COUNTIF(C6:AG6,"OFF")</f>
        <v>10</v>
      </c>
      <c r="AL6" s="15" t="n">
        <f aca="false">AH6+AI6+AJ6</f>
        <v>21</v>
      </c>
    </row>
    <row r="7" customFormat="false" ht="15" hidden="false" customHeight="true" outlineLevel="0" collapsed="false">
      <c r="A7" s="5" t="n">
        <v>3</v>
      </c>
      <c r="B7" s="10" t="s">
        <v>57</v>
      </c>
      <c r="C7" s="13" t="s">
        <v>46</v>
      </c>
      <c r="D7" s="13" t="s">
        <v>46</v>
      </c>
      <c r="E7" s="9" t="s">
        <v>55</v>
      </c>
      <c r="F7" s="12" t="s">
        <v>45</v>
      </c>
      <c r="G7" s="12" t="s">
        <v>45</v>
      </c>
      <c r="H7" s="9" t="s">
        <v>55</v>
      </c>
      <c r="I7" s="9" t="s">
        <v>55</v>
      </c>
      <c r="J7" s="12" t="s">
        <v>45</v>
      </c>
      <c r="K7" s="12" t="s">
        <v>45</v>
      </c>
      <c r="L7" s="9" t="s">
        <v>55</v>
      </c>
      <c r="M7" s="9" t="s">
        <v>55</v>
      </c>
      <c r="N7" s="13" t="s">
        <v>46</v>
      </c>
      <c r="O7" s="13" t="s">
        <v>46</v>
      </c>
      <c r="P7" s="13" t="s">
        <v>46</v>
      </c>
      <c r="Q7" s="9" t="s">
        <v>55</v>
      </c>
      <c r="R7" s="12" t="s">
        <v>45</v>
      </c>
      <c r="S7" s="12" t="s">
        <v>45</v>
      </c>
      <c r="T7" s="12" t="s">
        <v>45</v>
      </c>
      <c r="U7" s="12" t="s">
        <v>45</v>
      </c>
      <c r="V7" s="9" t="s">
        <v>55</v>
      </c>
      <c r="W7" s="11" t="s">
        <v>44</v>
      </c>
      <c r="X7" s="11" t="s">
        <v>44</v>
      </c>
      <c r="Y7" s="11" t="s">
        <v>44</v>
      </c>
      <c r="Z7" s="11" t="s">
        <v>44</v>
      </c>
      <c r="AA7" s="9" t="s">
        <v>55</v>
      </c>
      <c r="AB7" s="9" t="s">
        <v>55</v>
      </c>
      <c r="AC7" s="11" t="s">
        <v>44</v>
      </c>
      <c r="AD7" s="11" t="s">
        <v>44</v>
      </c>
      <c r="AE7" s="11" t="s">
        <v>44</v>
      </c>
      <c r="AF7" s="11" t="s">
        <v>44</v>
      </c>
      <c r="AG7" s="9" t="s">
        <v>55</v>
      </c>
      <c r="AH7" s="9" t="n">
        <f aca="false">COUNTIF(C7:AG7,"S1")</f>
        <v>8</v>
      </c>
      <c r="AI7" s="9" t="n">
        <f aca="false">COUNTIF(C7:AG7,"S2")</f>
        <v>8</v>
      </c>
      <c r="AJ7" s="9" t="n">
        <f aca="false">COUNTIF(C7:AG7,"S3")</f>
        <v>5</v>
      </c>
      <c r="AK7" s="14" t="n">
        <f aca="false">COUNTIF(C7:AG7,"OFF")</f>
        <v>10</v>
      </c>
      <c r="AL7" s="15" t="n">
        <f aca="false">AH7+AI7+AJ7</f>
        <v>21</v>
      </c>
    </row>
    <row r="8" customFormat="false" ht="15" hidden="false" customHeight="true" outlineLevel="0" collapsed="false">
      <c r="A8" s="5" t="n">
        <v>4</v>
      </c>
      <c r="B8" s="10" t="s">
        <v>58</v>
      </c>
      <c r="C8" s="12" t="s">
        <v>45</v>
      </c>
      <c r="D8" s="9" t="s">
        <v>55</v>
      </c>
      <c r="E8" s="13" t="s">
        <v>46</v>
      </c>
      <c r="F8" s="13" t="s">
        <v>46</v>
      </c>
      <c r="G8" s="13" t="s">
        <v>46</v>
      </c>
      <c r="H8" s="9" t="s">
        <v>55</v>
      </c>
      <c r="I8" s="11" t="s">
        <v>44</v>
      </c>
      <c r="J8" s="11" t="s">
        <v>44</v>
      </c>
      <c r="K8" s="9" t="s">
        <v>55</v>
      </c>
      <c r="L8" s="12" t="s">
        <v>45</v>
      </c>
      <c r="M8" s="12" t="s">
        <v>45</v>
      </c>
      <c r="N8" s="9" t="s">
        <v>55</v>
      </c>
      <c r="O8" s="11" t="s">
        <v>44</v>
      </c>
      <c r="P8" s="11" t="s">
        <v>44</v>
      </c>
      <c r="Q8" s="9" t="s">
        <v>55</v>
      </c>
      <c r="R8" s="11" t="s">
        <v>44</v>
      </c>
      <c r="S8" s="11" t="s">
        <v>44</v>
      </c>
      <c r="T8" s="9" t="s">
        <v>55</v>
      </c>
      <c r="U8" s="11" t="s">
        <v>44</v>
      </c>
      <c r="V8" s="11" t="s">
        <v>44</v>
      </c>
      <c r="W8" s="9" t="s">
        <v>55</v>
      </c>
      <c r="X8" s="12" t="s">
        <v>45</v>
      </c>
      <c r="Y8" s="12" t="s">
        <v>45</v>
      </c>
      <c r="Z8" s="12" t="s">
        <v>45</v>
      </c>
      <c r="AA8" s="9" t="s">
        <v>55</v>
      </c>
      <c r="AB8" s="9" t="s">
        <v>55</v>
      </c>
      <c r="AC8" s="13" t="s">
        <v>46</v>
      </c>
      <c r="AD8" s="13" t="s">
        <v>46</v>
      </c>
      <c r="AE8" s="9" t="s">
        <v>55</v>
      </c>
      <c r="AF8" s="12" t="s">
        <v>45</v>
      </c>
      <c r="AG8" s="12" t="s">
        <v>45</v>
      </c>
      <c r="AH8" s="9" t="n">
        <f aca="false">COUNTIF(C8:AG8,"S1")</f>
        <v>8</v>
      </c>
      <c r="AI8" s="9" t="n">
        <f aca="false">COUNTIF(C8:AG8,"S2")</f>
        <v>8</v>
      </c>
      <c r="AJ8" s="9" t="n">
        <f aca="false">COUNTIF(C8:AG8,"S3")</f>
        <v>5</v>
      </c>
      <c r="AK8" s="14" t="n">
        <f aca="false">COUNTIF(C8:AG8,"OFF")</f>
        <v>10</v>
      </c>
      <c r="AL8" s="15" t="n">
        <f aca="false">AH8+AI8+AJ8</f>
        <v>21</v>
      </c>
    </row>
    <row r="9" customFormat="false" ht="15" hidden="false" customHeight="true" outlineLevel="0" collapsed="false">
      <c r="A9" s="5" t="n">
        <v>5</v>
      </c>
      <c r="B9" s="10" t="s">
        <v>59</v>
      </c>
      <c r="C9" s="9" t="s">
        <v>55</v>
      </c>
      <c r="D9" s="9" t="s">
        <v>55</v>
      </c>
      <c r="E9" s="11" t="s">
        <v>44</v>
      </c>
      <c r="F9" s="11" t="s">
        <v>44</v>
      </c>
      <c r="G9" s="9" t="s">
        <v>55</v>
      </c>
      <c r="H9" s="13" t="s">
        <v>46</v>
      </c>
      <c r="I9" s="13" t="s">
        <v>46</v>
      </c>
      <c r="J9" s="9" t="s">
        <v>55</v>
      </c>
      <c r="K9" s="13" t="s">
        <v>46</v>
      </c>
      <c r="L9" s="13" t="s">
        <v>46</v>
      </c>
      <c r="M9" s="13" t="s">
        <v>46</v>
      </c>
      <c r="N9" s="9" t="s">
        <v>55</v>
      </c>
      <c r="O9" s="13" t="s">
        <v>46</v>
      </c>
      <c r="P9" s="13" t="s">
        <v>46</v>
      </c>
      <c r="Q9" s="13" t="s">
        <v>46</v>
      </c>
      <c r="R9" s="13" t="s">
        <v>46</v>
      </c>
      <c r="S9" s="13" t="s">
        <v>46</v>
      </c>
      <c r="T9" s="9" t="s">
        <v>55</v>
      </c>
      <c r="U9" s="9" t="s">
        <v>55</v>
      </c>
      <c r="V9" s="12" t="s">
        <v>45</v>
      </c>
      <c r="W9" s="12" t="s">
        <v>45</v>
      </c>
      <c r="X9" s="9" t="s">
        <v>55</v>
      </c>
      <c r="Y9" s="13" t="s">
        <v>46</v>
      </c>
      <c r="Z9" s="13" t="s">
        <v>46</v>
      </c>
      <c r="AA9" s="13" t="s">
        <v>46</v>
      </c>
      <c r="AB9" s="13" t="s">
        <v>46</v>
      </c>
      <c r="AC9" s="9" t="s">
        <v>55</v>
      </c>
      <c r="AD9" s="9" t="s">
        <v>55</v>
      </c>
      <c r="AE9" s="13" t="s">
        <v>46</v>
      </c>
      <c r="AF9" s="13" t="s">
        <v>46</v>
      </c>
      <c r="AG9" s="9" t="s">
        <v>55</v>
      </c>
      <c r="AH9" s="9" t="n">
        <f aca="false">COUNTIF(C9:AG9,"S1")</f>
        <v>2</v>
      </c>
      <c r="AI9" s="9" t="n">
        <f aca="false">COUNTIF(C9:AG9,"S2")</f>
        <v>2</v>
      </c>
      <c r="AJ9" s="9" t="n">
        <f aca="false">COUNTIF(C9:AG9,"S3")</f>
        <v>16</v>
      </c>
      <c r="AK9" s="14" t="n">
        <f aca="false">COUNTIF(C9:AG9,"OFF")</f>
        <v>11</v>
      </c>
      <c r="AL9" s="15" t="n">
        <f aca="false">AH9+AI9+AJ9</f>
        <v>20</v>
      </c>
    </row>
    <row r="10" customFormat="false" ht="15" hidden="false" customHeight="true" outlineLevel="0" collapsed="false">
      <c r="A10" s="5" t="n">
        <v>6</v>
      </c>
      <c r="B10" s="10" t="s">
        <v>60</v>
      </c>
      <c r="C10" s="9" t="s">
        <v>55</v>
      </c>
      <c r="D10" s="12" t="s">
        <v>45</v>
      </c>
      <c r="E10" s="12" t="s">
        <v>45</v>
      </c>
      <c r="F10" s="9" t="s">
        <v>55</v>
      </c>
      <c r="G10" s="9" t="s">
        <v>55</v>
      </c>
      <c r="H10" s="12" t="s">
        <v>45</v>
      </c>
      <c r="I10" s="12" t="s">
        <v>45</v>
      </c>
      <c r="J10" s="9" t="s">
        <v>55</v>
      </c>
      <c r="K10" s="9" t="s">
        <v>55</v>
      </c>
      <c r="L10" s="11" t="s">
        <v>44</v>
      </c>
      <c r="M10" s="11" t="s">
        <v>44</v>
      </c>
      <c r="N10" s="11" t="s">
        <v>44</v>
      </c>
      <c r="O10" s="9" t="s">
        <v>55</v>
      </c>
      <c r="P10" s="12" t="s">
        <v>45</v>
      </c>
      <c r="Q10" s="12" t="s">
        <v>45</v>
      </c>
      <c r="R10" s="9" t="s">
        <v>55</v>
      </c>
      <c r="S10" s="11" t="s">
        <v>44</v>
      </c>
      <c r="T10" s="11" t="s">
        <v>44</v>
      </c>
      <c r="U10" s="9" t="s">
        <v>55</v>
      </c>
      <c r="V10" s="12" t="s">
        <v>45</v>
      </c>
      <c r="W10" s="12" t="s">
        <v>45</v>
      </c>
      <c r="X10" s="9" t="s">
        <v>55</v>
      </c>
      <c r="Y10" s="11" t="s">
        <v>44</v>
      </c>
      <c r="Z10" s="11" t="s">
        <v>44</v>
      </c>
      <c r="AA10" s="11" t="s">
        <v>44</v>
      </c>
      <c r="AB10" s="11" t="s">
        <v>44</v>
      </c>
      <c r="AC10" s="9" t="s">
        <v>55</v>
      </c>
      <c r="AD10" s="12" t="s">
        <v>45</v>
      </c>
      <c r="AE10" s="12" t="s">
        <v>45</v>
      </c>
      <c r="AF10" s="9" t="s">
        <v>55</v>
      </c>
      <c r="AG10" s="11" t="s">
        <v>44</v>
      </c>
      <c r="AH10" s="9" t="n">
        <f aca="false">COUNTIF(C10:AG10,"S1")</f>
        <v>10</v>
      </c>
      <c r="AI10" s="9" t="n">
        <f aca="false">COUNTIF(C10:AG10,"S2")</f>
        <v>10</v>
      </c>
      <c r="AJ10" s="9" t="n">
        <f aca="false">COUNTIF(C10:AG10,"S3")</f>
        <v>0</v>
      </c>
      <c r="AK10" s="14" t="n">
        <f aca="false">COUNTIF(C10:AG10,"OFF")</f>
        <v>11</v>
      </c>
      <c r="AL10" s="15" t="n">
        <f aca="false">AH10+AI10+AJ10</f>
        <v>20</v>
      </c>
    </row>
    <row r="11" customFormat="false" ht="15" hidden="false" customHeight="true" outlineLevel="0" collapsed="false">
      <c r="A11" s="5" t="n">
        <v>7</v>
      </c>
      <c r="B11" s="10" t="s">
        <v>61</v>
      </c>
      <c r="C11" s="9" t="s">
        <v>55</v>
      </c>
      <c r="D11" s="12" t="s">
        <v>45</v>
      </c>
      <c r="E11" s="12" t="s">
        <v>45</v>
      </c>
      <c r="F11" s="9" t="s">
        <v>55</v>
      </c>
      <c r="G11" s="11" t="s">
        <v>44</v>
      </c>
      <c r="H11" s="11" t="s">
        <v>44</v>
      </c>
      <c r="I11" s="11" t="s">
        <v>44</v>
      </c>
      <c r="J11" s="11" t="s">
        <v>44</v>
      </c>
      <c r="K11" s="11" t="s">
        <v>44</v>
      </c>
      <c r="L11" s="9" t="s">
        <v>55</v>
      </c>
      <c r="M11" s="12" t="s">
        <v>45</v>
      </c>
      <c r="N11" s="12" t="s">
        <v>45</v>
      </c>
      <c r="O11" s="9" t="s">
        <v>55</v>
      </c>
      <c r="P11" s="11" t="s">
        <v>44</v>
      </c>
      <c r="Q11" s="11" t="s">
        <v>44</v>
      </c>
      <c r="R11" s="9" t="s">
        <v>55</v>
      </c>
      <c r="S11" s="9" t="s">
        <v>55</v>
      </c>
      <c r="T11" s="13" t="s">
        <v>46</v>
      </c>
      <c r="U11" s="13" t="s">
        <v>46</v>
      </c>
      <c r="V11" s="13" t="s">
        <v>46</v>
      </c>
      <c r="W11" s="9" t="s">
        <v>55</v>
      </c>
      <c r="X11" s="13" t="s">
        <v>46</v>
      </c>
      <c r="Y11" s="13" t="s">
        <v>46</v>
      </c>
      <c r="Z11" s="9" t="s">
        <v>55</v>
      </c>
      <c r="AA11" s="9" t="s">
        <v>55</v>
      </c>
      <c r="AB11" s="12" t="s">
        <v>45</v>
      </c>
      <c r="AC11" s="12" t="s">
        <v>45</v>
      </c>
      <c r="AD11" s="12" t="s">
        <v>45</v>
      </c>
      <c r="AE11" s="12" t="s">
        <v>45</v>
      </c>
      <c r="AF11" s="9" t="s">
        <v>55</v>
      </c>
      <c r="AG11" s="11" t="s">
        <v>44</v>
      </c>
      <c r="AH11" s="9" t="n">
        <f aca="false">COUNTIF(C11:AG11,"S1")</f>
        <v>8</v>
      </c>
      <c r="AI11" s="9" t="n">
        <f aca="false">COUNTIF(C11:AG11,"S2")</f>
        <v>8</v>
      </c>
      <c r="AJ11" s="9" t="n">
        <f aca="false">COUNTIF(C11:AG11,"S3")</f>
        <v>5</v>
      </c>
      <c r="AK11" s="14" t="n">
        <f aca="false">COUNTIF(C11:AG11,"OFF")</f>
        <v>10</v>
      </c>
      <c r="AL11" s="15" t="n">
        <f aca="false">AH11+AI11+AJ11</f>
        <v>21</v>
      </c>
    </row>
    <row r="12" customFormat="false" ht="15" hidden="false" customHeight="true" outlineLevel="0" collapsed="false">
      <c r="A12" s="5" t="n">
        <v>8</v>
      </c>
      <c r="B12" s="10" t="s">
        <v>62</v>
      </c>
      <c r="C12" s="12" t="s">
        <v>45</v>
      </c>
      <c r="D12" s="9" t="s">
        <v>55</v>
      </c>
      <c r="E12" s="11" t="s">
        <v>44</v>
      </c>
      <c r="F12" s="11" t="s">
        <v>44</v>
      </c>
      <c r="G12" s="9" t="s">
        <v>55</v>
      </c>
      <c r="H12" s="12" t="s">
        <v>45</v>
      </c>
      <c r="I12" s="12" t="s">
        <v>45</v>
      </c>
      <c r="J12" s="9" t="s">
        <v>55</v>
      </c>
      <c r="K12" s="11" t="s">
        <v>44</v>
      </c>
      <c r="L12" s="11" t="s">
        <v>44</v>
      </c>
      <c r="M12" s="9" t="s">
        <v>55</v>
      </c>
      <c r="N12" s="12" t="s">
        <v>45</v>
      </c>
      <c r="O12" s="12" t="s">
        <v>45</v>
      </c>
      <c r="P12" s="9" t="s">
        <v>55</v>
      </c>
      <c r="Q12" s="11" t="s">
        <v>44</v>
      </c>
      <c r="R12" s="11" t="s">
        <v>44</v>
      </c>
      <c r="S12" s="9" t="s">
        <v>55</v>
      </c>
      <c r="T12" s="11" t="s">
        <v>44</v>
      </c>
      <c r="U12" s="11" t="s">
        <v>44</v>
      </c>
      <c r="V12" s="9" t="s">
        <v>55</v>
      </c>
      <c r="W12" s="13" t="s">
        <v>46</v>
      </c>
      <c r="X12" s="13" t="s">
        <v>46</v>
      </c>
      <c r="Y12" s="9" t="s">
        <v>55</v>
      </c>
      <c r="Z12" s="9" t="s">
        <v>55</v>
      </c>
      <c r="AA12" s="12" t="s">
        <v>45</v>
      </c>
      <c r="AB12" s="12" t="s">
        <v>45</v>
      </c>
      <c r="AC12" s="12" t="s">
        <v>45</v>
      </c>
      <c r="AD12" s="9" t="s">
        <v>55</v>
      </c>
      <c r="AE12" s="13" t="s">
        <v>46</v>
      </c>
      <c r="AF12" s="13" t="s">
        <v>46</v>
      </c>
      <c r="AG12" s="13" t="s">
        <v>46</v>
      </c>
      <c r="AH12" s="9" t="n">
        <f aca="false">COUNTIF(C12:AG12,"S1")</f>
        <v>8</v>
      </c>
      <c r="AI12" s="9" t="n">
        <f aca="false">COUNTIF(C12:AG12,"S2")</f>
        <v>8</v>
      </c>
      <c r="AJ12" s="9" t="n">
        <f aca="false">COUNTIF(C12:AG12,"S3")</f>
        <v>5</v>
      </c>
      <c r="AK12" s="14" t="n">
        <f aca="false">COUNTIF(C12:AG12,"OFF")</f>
        <v>10</v>
      </c>
      <c r="AL12" s="15" t="n">
        <f aca="false">AH12+AI12+AJ12</f>
        <v>21</v>
      </c>
    </row>
    <row r="13" customFormat="false" ht="15" hidden="false" customHeight="true" outlineLevel="0" collapsed="false">
      <c r="A13" s="5" t="n">
        <v>9</v>
      </c>
      <c r="B13" s="10" t="s">
        <v>63</v>
      </c>
      <c r="C13" s="11" t="s">
        <v>44</v>
      </c>
      <c r="D13" s="11" t="s">
        <v>44</v>
      </c>
      <c r="E13" s="9" t="s">
        <v>55</v>
      </c>
      <c r="F13" s="13" t="s">
        <v>46</v>
      </c>
      <c r="G13" s="13" t="s">
        <v>46</v>
      </c>
      <c r="H13" s="13" t="s">
        <v>46</v>
      </c>
      <c r="I13" s="9" t="s">
        <v>55</v>
      </c>
      <c r="J13" s="12" t="s">
        <v>45</v>
      </c>
      <c r="K13" s="12" t="s">
        <v>45</v>
      </c>
      <c r="L13" s="12" t="s">
        <v>45</v>
      </c>
      <c r="M13" s="9" t="s">
        <v>55</v>
      </c>
      <c r="N13" s="9" t="s">
        <v>55</v>
      </c>
      <c r="O13" s="12" t="s">
        <v>45</v>
      </c>
      <c r="P13" s="12" t="s">
        <v>45</v>
      </c>
      <c r="Q13" s="12" t="s">
        <v>45</v>
      </c>
      <c r="R13" s="9" t="s">
        <v>55</v>
      </c>
      <c r="S13" s="13" t="s">
        <v>46</v>
      </c>
      <c r="T13" s="13" t="s">
        <v>46</v>
      </c>
      <c r="U13" s="9" t="s">
        <v>55</v>
      </c>
      <c r="V13" s="11" t="s">
        <v>44</v>
      </c>
      <c r="W13" s="11" t="s">
        <v>44</v>
      </c>
      <c r="X13" s="11" t="s">
        <v>44</v>
      </c>
      <c r="Y13" s="9" t="s">
        <v>55</v>
      </c>
      <c r="Z13" s="9" t="s">
        <v>55</v>
      </c>
      <c r="AA13" s="11" t="s">
        <v>44</v>
      </c>
      <c r="AB13" s="11" t="s">
        <v>44</v>
      </c>
      <c r="AC13" s="11" t="s">
        <v>44</v>
      </c>
      <c r="AD13" s="9" t="s">
        <v>55</v>
      </c>
      <c r="AE13" s="9" t="s">
        <v>55</v>
      </c>
      <c r="AF13" s="12" t="s">
        <v>45</v>
      </c>
      <c r="AG13" s="12" t="s">
        <v>45</v>
      </c>
      <c r="AH13" s="9" t="n">
        <f aca="false">COUNTIF(C13:AG13,"S1")</f>
        <v>8</v>
      </c>
      <c r="AI13" s="9" t="n">
        <f aca="false">COUNTIF(C13:AG13,"S2")</f>
        <v>8</v>
      </c>
      <c r="AJ13" s="9" t="n">
        <f aca="false">COUNTIF(C13:AG13,"S3")</f>
        <v>5</v>
      </c>
      <c r="AK13" s="14" t="n">
        <f aca="false">COUNTIF(C13:AG13,"OFF")</f>
        <v>10</v>
      </c>
      <c r="AL13" s="15" t="n">
        <f aca="false">AH13+AI13+AJ13</f>
        <v>21</v>
      </c>
    </row>
    <row r="15" customFormat="false" ht="15" hidden="false" customHeight="true" outlineLevel="0" collapsed="false">
      <c r="B15" s="16" t="s">
        <v>64</v>
      </c>
      <c r="C15" s="16"/>
      <c r="D15" s="16"/>
    </row>
    <row r="16" customFormat="false" ht="15" hidden="false" customHeight="true" outlineLevel="0" collapsed="false">
      <c r="B16" s="4" t="s">
        <v>44</v>
      </c>
      <c r="C16" s="9" t="n">
        <f aca="false">COUNTIF(C5:C13,"S1")</f>
        <v>2</v>
      </c>
      <c r="D16" s="9" t="n">
        <f aca="false">COUNTIF(D5:D13,"S1")</f>
        <v>2</v>
      </c>
      <c r="E16" s="9" t="n">
        <f aca="false">COUNTIF(E5:E13,"S1")</f>
        <v>2</v>
      </c>
      <c r="F16" s="9" t="n">
        <f aca="false">COUNTIF(F5:F13,"S1")</f>
        <v>2</v>
      </c>
      <c r="G16" s="9" t="n">
        <f aca="false">COUNTIF(G5:G13,"S1")</f>
        <v>2</v>
      </c>
      <c r="H16" s="9" t="n">
        <f aca="false">COUNTIF(H5:H13,"S1")</f>
        <v>2</v>
      </c>
      <c r="I16" s="9" t="n">
        <f aca="false">COUNTIF(I5:I13,"S1")</f>
        <v>2</v>
      </c>
      <c r="J16" s="9" t="n">
        <f aca="false">COUNTIF(J5:J13,"S1")</f>
        <v>2</v>
      </c>
      <c r="K16" s="9" t="n">
        <f aca="false">COUNTIF(K5:K13,"S1")</f>
        <v>2</v>
      </c>
      <c r="L16" s="9" t="n">
        <f aca="false">COUNTIF(L5:L13,"S1")</f>
        <v>2</v>
      </c>
      <c r="M16" s="9" t="n">
        <f aca="false">COUNTIF(M5:M13,"S1")</f>
        <v>2</v>
      </c>
      <c r="N16" s="9" t="n">
        <f aca="false">COUNTIF(N5:N13,"S1")</f>
        <v>2</v>
      </c>
      <c r="O16" s="9" t="n">
        <f aca="false">COUNTIF(O5:O13,"S1")</f>
        <v>2</v>
      </c>
      <c r="P16" s="9" t="n">
        <f aca="false">COUNTIF(P5:P13,"S1")</f>
        <v>2</v>
      </c>
      <c r="Q16" s="9" t="n">
        <f aca="false">COUNTIF(Q5:Q13,"S1")</f>
        <v>2</v>
      </c>
      <c r="R16" s="9" t="n">
        <f aca="false">COUNTIF(R5:R13,"S1")</f>
        <v>2</v>
      </c>
      <c r="S16" s="9" t="n">
        <f aca="false">COUNTIF(S5:S13,"S1")</f>
        <v>2</v>
      </c>
      <c r="T16" s="9" t="n">
        <f aca="false">COUNTIF(T5:T13,"S1")</f>
        <v>2</v>
      </c>
      <c r="U16" s="9" t="n">
        <f aca="false">COUNTIF(U5:U13,"S1")</f>
        <v>2</v>
      </c>
      <c r="V16" s="9" t="n">
        <f aca="false">COUNTIF(V5:V13,"S1")</f>
        <v>2</v>
      </c>
      <c r="W16" s="9" t="n">
        <f aca="false">COUNTIF(W5:W13,"S1")</f>
        <v>2</v>
      </c>
      <c r="X16" s="9" t="n">
        <f aca="false">COUNTIF(X5:X13,"S1")</f>
        <v>2</v>
      </c>
      <c r="Y16" s="9" t="n">
        <f aca="false">COUNTIF(Y5:Y13,"S1")</f>
        <v>2</v>
      </c>
      <c r="Z16" s="9" t="n">
        <f aca="false">COUNTIF(Z5:Z13,"S1")</f>
        <v>2</v>
      </c>
      <c r="AA16" s="9" t="n">
        <f aca="false">COUNTIF(AA5:AA13,"S1")</f>
        <v>2</v>
      </c>
      <c r="AB16" s="9" t="n">
        <f aca="false">COUNTIF(AB5:AB13,"S1")</f>
        <v>2</v>
      </c>
      <c r="AC16" s="9" t="n">
        <f aca="false">COUNTIF(AC5:AC13,"S1")</f>
        <v>2</v>
      </c>
      <c r="AD16" s="9" t="n">
        <f aca="false">COUNTIF(AD5:AD13,"S1")</f>
        <v>2</v>
      </c>
      <c r="AE16" s="9" t="n">
        <f aca="false">COUNTIF(AE5:AE13,"S1")</f>
        <v>2</v>
      </c>
      <c r="AF16" s="9" t="n">
        <f aca="false">COUNTIF(AF5:AF13,"S1")</f>
        <v>2</v>
      </c>
      <c r="AG16" s="9" t="n">
        <f aca="false">COUNTIF(AG5:AG13,"S1")</f>
        <v>2</v>
      </c>
    </row>
    <row r="17" customFormat="false" ht="15" hidden="false" customHeight="true" outlineLevel="0" collapsed="false">
      <c r="B17" s="6" t="s">
        <v>45</v>
      </c>
      <c r="C17" s="9" t="n">
        <f aca="false">COUNTIF(C5:C13,"S2")</f>
        <v>2</v>
      </c>
      <c r="D17" s="9" t="n">
        <f aca="false">COUNTIF(D5:D13,"S2")</f>
        <v>2</v>
      </c>
      <c r="E17" s="9" t="n">
        <f aca="false">COUNTIF(E5:E13,"S2")</f>
        <v>2</v>
      </c>
      <c r="F17" s="9" t="n">
        <f aca="false">COUNTIF(F5:F13,"S2")</f>
        <v>2</v>
      </c>
      <c r="G17" s="9" t="n">
        <f aca="false">COUNTIF(G5:G13,"S2")</f>
        <v>2</v>
      </c>
      <c r="H17" s="9" t="n">
        <f aca="false">COUNTIF(H5:H13,"S2")</f>
        <v>2</v>
      </c>
      <c r="I17" s="9" t="n">
        <f aca="false">COUNTIF(I5:I13,"S2")</f>
        <v>2</v>
      </c>
      <c r="J17" s="9" t="n">
        <f aca="false">COUNTIF(J5:J13,"S2")</f>
        <v>2</v>
      </c>
      <c r="K17" s="9" t="n">
        <f aca="false">COUNTIF(K5:K13,"S2")</f>
        <v>2</v>
      </c>
      <c r="L17" s="9" t="n">
        <f aca="false">COUNTIF(L5:L13,"S2")</f>
        <v>2</v>
      </c>
      <c r="M17" s="9" t="n">
        <f aca="false">COUNTIF(M5:M13,"S2")</f>
        <v>2</v>
      </c>
      <c r="N17" s="9" t="n">
        <f aca="false">COUNTIF(N5:N13,"S2")</f>
        <v>2</v>
      </c>
      <c r="O17" s="9" t="n">
        <f aca="false">COUNTIF(O5:O13,"S2")</f>
        <v>2</v>
      </c>
      <c r="P17" s="9" t="n">
        <f aca="false">COUNTIF(P5:P13,"S2")</f>
        <v>2</v>
      </c>
      <c r="Q17" s="9" t="n">
        <f aca="false">COUNTIF(Q5:Q13,"S2")</f>
        <v>2</v>
      </c>
      <c r="R17" s="9" t="n">
        <f aca="false">COUNTIF(R5:R13,"S2")</f>
        <v>2</v>
      </c>
      <c r="S17" s="9" t="n">
        <f aca="false">COUNTIF(S5:S13,"S2")</f>
        <v>2</v>
      </c>
      <c r="T17" s="9" t="n">
        <f aca="false">COUNTIF(T5:T13,"S2")</f>
        <v>2</v>
      </c>
      <c r="U17" s="9" t="n">
        <f aca="false">COUNTIF(U5:U13,"S2")</f>
        <v>2</v>
      </c>
      <c r="V17" s="9" t="n">
        <f aca="false">COUNTIF(V5:V13,"S2")</f>
        <v>2</v>
      </c>
      <c r="W17" s="9" t="n">
        <f aca="false">COUNTIF(W5:W13,"S2")</f>
        <v>2</v>
      </c>
      <c r="X17" s="9" t="n">
        <f aca="false">COUNTIF(X5:X13,"S2")</f>
        <v>2</v>
      </c>
      <c r="Y17" s="9" t="n">
        <f aca="false">COUNTIF(Y5:Y13,"S2")</f>
        <v>2</v>
      </c>
      <c r="Z17" s="9" t="n">
        <f aca="false">COUNTIF(Z5:Z13,"S2")</f>
        <v>2</v>
      </c>
      <c r="AA17" s="9" t="n">
        <f aca="false">COUNTIF(AA5:AA13,"S2")</f>
        <v>2</v>
      </c>
      <c r="AB17" s="9" t="n">
        <f aca="false">COUNTIF(AB5:AB13,"S2")</f>
        <v>2</v>
      </c>
      <c r="AC17" s="9" t="n">
        <f aca="false">COUNTIF(AC5:AC13,"S2")</f>
        <v>2</v>
      </c>
      <c r="AD17" s="9" t="n">
        <f aca="false">COUNTIF(AD5:AD13,"S2")</f>
        <v>2</v>
      </c>
      <c r="AE17" s="9" t="n">
        <f aca="false">COUNTIF(AE5:AE13,"S2")</f>
        <v>2</v>
      </c>
      <c r="AF17" s="9" t="n">
        <f aca="false">COUNTIF(AF5:AF13,"S2")</f>
        <v>2</v>
      </c>
      <c r="AG17" s="9" t="n">
        <f aca="false">COUNTIF(AG5:AG13,"S2")</f>
        <v>2</v>
      </c>
    </row>
    <row r="18" customFormat="false" ht="15" hidden="false" customHeight="true" outlineLevel="0" collapsed="false">
      <c r="B18" s="7" t="s">
        <v>46</v>
      </c>
      <c r="C18" s="9" t="n">
        <f aca="false">COUNTIF(C5:C13,"S3")</f>
        <v>2</v>
      </c>
      <c r="D18" s="9" t="n">
        <f aca="false">COUNTIF(D5:D13,"S3")</f>
        <v>2</v>
      </c>
      <c r="E18" s="9" t="n">
        <f aca="false">COUNTIF(E5:E13,"S3")</f>
        <v>2</v>
      </c>
      <c r="F18" s="9" t="n">
        <f aca="false">COUNTIF(F5:F13,"S3")</f>
        <v>2</v>
      </c>
      <c r="G18" s="9" t="n">
        <f aca="false">COUNTIF(G5:G13,"S3")</f>
        <v>2</v>
      </c>
      <c r="H18" s="9" t="n">
        <f aca="false">COUNTIF(H5:H13,"S3")</f>
        <v>2</v>
      </c>
      <c r="I18" s="9" t="n">
        <f aca="false">COUNTIF(I5:I13,"S3")</f>
        <v>2</v>
      </c>
      <c r="J18" s="9" t="n">
        <f aca="false">COUNTIF(J5:J13,"S3")</f>
        <v>2</v>
      </c>
      <c r="K18" s="9" t="n">
        <f aca="false">COUNTIF(K5:K13,"S3")</f>
        <v>2</v>
      </c>
      <c r="L18" s="9" t="n">
        <f aca="false">COUNTIF(L5:L13,"S3")</f>
        <v>2</v>
      </c>
      <c r="M18" s="9" t="n">
        <f aca="false">COUNTIF(M5:M13,"S3")</f>
        <v>2</v>
      </c>
      <c r="N18" s="9" t="n">
        <f aca="false">COUNTIF(N5:N13,"S3")</f>
        <v>2</v>
      </c>
      <c r="O18" s="9" t="n">
        <f aca="false">COUNTIF(O5:O13,"S3")</f>
        <v>2</v>
      </c>
      <c r="P18" s="9" t="n">
        <f aca="false">COUNTIF(P5:P13,"S3")</f>
        <v>2</v>
      </c>
      <c r="Q18" s="9" t="n">
        <f aca="false">COUNTIF(Q5:Q13,"S3")</f>
        <v>2</v>
      </c>
      <c r="R18" s="9" t="n">
        <f aca="false">COUNTIF(R5:R13,"S3")</f>
        <v>2</v>
      </c>
      <c r="S18" s="9" t="n">
        <f aca="false">COUNTIF(S5:S13,"S3")</f>
        <v>2</v>
      </c>
      <c r="T18" s="9" t="n">
        <f aca="false">COUNTIF(T5:T13,"S3")</f>
        <v>2</v>
      </c>
      <c r="U18" s="9" t="n">
        <f aca="false">COUNTIF(U5:U13,"S3")</f>
        <v>2</v>
      </c>
      <c r="V18" s="9" t="n">
        <f aca="false">COUNTIF(V5:V13,"S3")</f>
        <v>2</v>
      </c>
      <c r="W18" s="9" t="n">
        <f aca="false">COUNTIF(W5:W13,"S3")</f>
        <v>2</v>
      </c>
      <c r="X18" s="9" t="n">
        <f aca="false">COUNTIF(X5:X13,"S3")</f>
        <v>2</v>
      </c>
      <c r="Y18" s="9" t="n">
        <f aca="false">COUNTIF(Y5:Y13,"S3")</f>
        <v>2</v>
      </c>
      <c r="Z18" s="9" t="n">
        <f aca="false">COUNTIF(Z5:Z13,"S3")</f>
        <v>2</v>
      </c>
      <c r="AA18" s="9" t="n">
        <f aca="false">COUNTIF(AA5:AA13,"S3")</f>
        <v>2</v>
      </c>
      <c r="AB18" s="9" t="n">
        <f aca="false">COUNTIF(AB5:AB13,"S3")</f>
        <v>2</v>
      </c>
      <c r="AC18" s="9" t="n">
        <f aca="false">COUNTIF(AC5:AC13,"S3")</f>
        <v>2</v>
      </c>
      <c r="AD18" s="9" t="n">
        <f aca="false">COUNTIF(AD5:AD13,"S3")</f>
        <v>2</v>
      </c>
      <c r="AE18" s="9" t="n">
        <f aca="false">COUNTIF(AE5:AE13,"S3")</f>
        <v>2</v>
      </c>
      <c r="AF18" s="9" t="n">
        <f aca="false">COUNTIF(AF5:AF13,"S3")</f>
        <v>2</v>
      </c>
      <c r="AG18" s="9" t="n">
        <f aca="false">COUNTIF(AG5:AG13,"S3")</f>
        <v>2</v>
      </c>
    </row>
    <row r="19" customFormat="false" ht="15" hidden="false" customHeight="true" outlineLevel="0" collapsed="false">
      <c r="B19" s="17" t="s">
        <v>65</v>
      </c>
      <c r="C19" s="17" t="n">
        <f aca="false">SUM(C16:C18)</f>
        <v>6</v>
      </c>
      <c r="D19" s="17" t="n">
        <f aca="false">SUM(D16:D18)</f>
        <v>6</v>
      </c>
      <c r="E19" s="17" t="n">
        <f aca="false">SUM(E16:E18)</f>
        <v>6</v>
      </c>
      <c r="F19" s="17" t="n">
        <f aca="false">SUM(F16:F18)</f>
        <v>6</v>
      </c>
      <c r="G19" s="17" t="n">
        <f aca="false">SUM(G16:G18)</f>
        <v>6</v>
      </c>
      <c r="H19" s="17" t="n">
        <f aca="false">SUM(H16:H18)</f>
        <v>6</v>
      </c>
      <c r="I19" s="17" t="n">
        <f aca="false">SUM(I16:I18)</f>
        <v>6</v>
      </c>
      <c r="J19" s="17" t="n">
        <f aca="false">SUM(J16:J18)</f>
        <v>6</v>
      </c>
      <c r="K19" s="17" t="n">
        <f aca="false">SUM(K16:K18)</f>
        <v>6</v>
      </c>
      <c r="L19" s="17" t="n">
        <f aca="false">SUM(L16:L18)</f>
        <v>6</v>
      </c>
      <c r="M19" s="17" t="n">
        <f aca="false">SUM(M16:M18)</f>
        <v>6</v>
      </c>
      <c r="N19" s="17" t="n">
        <f aca="false">SUM(N16:N18)</f>
        <v>6</v>
      </c>
      <c r="O19" s="17" t="n">
        <f aca="false">SUM(O16:O18)</f>
        <v>6</v>
      </c>
      <c r="P19" s="17" t="n">
        <f aca="false">SUM(P16:P18)</f>
        <v>6</v>
      </c>
      <c r="Q19" s="17" t="n">
        <f aca="false">SUM(Q16:Q18)</f>
        <v>6</v>
      </c>
      <c r="R19" s="17" t="n">
        <f aca="false">SUM(R16:R18)</f>
        <v>6</v>
      </c>
      <c r="S19" s="17" t="n">
        <f aca="false">SUM(S16:S18)</f>
        <v>6</v>
      </c>
      <c r="T19" s="17" t="n">
        <f aca="false">SUM(T16:T18)</f>
        <v>6</v>
      </c>
      <c r="U19" s="17" t="n">
        <f aca="false">SUM(U16:U18)</f>
        <v>6</v>
      </c>
      <c r="V19" s="17" t="n">
        <f aca="false">SUM(V16:V18)</f>
        <v>6</v>
      </c>
      <c r="W19" s="17" t="n">
        <f aca="false">SUM(W16:W18)</f>
        <v>6</v>
      </c>
      <c r="X19" s="17" t="n">
        <f aca="false">SUM(X16:X18)</f>
        <v>6</v>
      </c>
      <c r="Y19" s="17" t="n">
        <f aca="false">SUM(Y16:Y18)</f>
        <v>6</v>
      </c>
      <c r="Z19" s="17" t="n">
        <f aca="false">SUM(Z16:Z18)</f>
        <v>6</v>
      </c>
      <c r="AA19" s="17" t="n">
        <f aca="false">SUM(AA16:AA18)</f>
        <v>6</v>
      </c>
      <c r="AB19" s="17" t="n">
        <f aca="false">SUM(AB16:AB18)</f>
        <v>6</v>
      </c>
      <c r="AC19" s="17" t="n">
        <f aca="false">SUM(AC16:AC18)</f>
        <v>6</v>
      </c>
      <c r="AD19" s="17" t="n">
        <f aca="false">SUM(AD16:AD18)</f>
        <v>6</v>
      </c>
      <c r="AE19" s="17" t="n">
        <f aca="false">SUM(AE16:AE18)</f>
        <v>6</v>
      </c>
      <c r="AF19" s="17" t="n">
        <f aca="false">SUM(AF16:AF18)</f>
        <v>6</v>
      </c>
      <c r="AG19" s="17" t="n">
        <f aca="false">SUM(AG16:AG18)</f>
        <v>6</v>
      </c>
    </row>
    <row r="20" customFormat="false" ht="15" hidden="false" customHeight="true" outlineLevel="0" collapsed="false">
      <c r="B20" s="18" t="s">
        <v>66</v>
      </c>
      <c r="C20" s="9" t="str">
        <f aca="false">IF(MIN(C16:C18)&gt;=2,"OK","LOW")</f>
        <v>OK</v>
      </c>
      <c r="D20" s="9" t="str">
        <f aca="false">IF(MIN(D16:D18)&gt;=2,"OK","LOW")</f>
        <v>OK</v>
      </c>
      <c r="E20" s="9" t="str">
        <f aca="false">IF(MIN(E16:E18)&gt;=2,"OK","LOW")</f>
        <v>OK</v>
      </c>
      <c r="F20" s="9" t="str">
        <f aca="false">IF(MIN(F16:F18)&gt;=2,"OK","LOW")</f>
        <v>OK</v>
      </c>
      <c r="G20" s="9" t="str">
        <f aca="false">IF(MIN(G16:G18)&gt;=2,"OK","LOW")</f>
        <v>OK</v>
      </c>
      <c r="H20" s="9" t="str">
        <f aca="false">IF(MIN(H16:H18)&gt;=2,"OK","LOW")</f>
        <v>OK</v>
      </c>
      <c r="I20" s="9" t="str">
        <f aca="false">IF(MIN(I16:I18)&gt;=2,"OK","LOW")</f>
        <v>OK</v>
      </c>
      <c r="J20" s="9" t="str">
        <f aca="false">IF(MIN(J16:J18)&gt;=2,"OK","LOW")</f>
        <v>OK</v>
      </c>
      <c r="K20" s="9" t="str">
        <f aca="false">IF(MIN(K16:K18)&gt;=2,"OK","LOW")</f>
        <v>OK</v>
      </c>
      <c r="L20" s="9" t="str">
        <f aca="false">IF(MIN(L16:L18)&gt;=2,"OK","LOW")</f>
        <v>OK</v>
      </c>
      <c r="M20" s="9" t="str">
        <f aca="false">IF(MIN(M16:M18)&gt;=2,"OK","LOW")</f>
        <v>OK</v>
      </c>
      <c r="N20" s="9" t="str">
        <f aca="false">IF(MIN(N16:N18)&gt;=2,"OK","LOW")</f>
        <v>OK</v>
      </c>
      <c r="O20" s="9" t="str">
        <f aca="false">IF(MIN(O16:O18)&gt;=2,"OK","LOW")</f>
        <v>OK</v>
      </c>
      <c r="P20" s="9" t="str">
        <f aca="false">IF(MIN(P16:P18)&gt;=2,"OK","LOW")</f>
        <v>OK</v>
      </c>
      <c r="Q20" s="9" t="str">
        <f aca="false">IF(MIN(Q16:Q18)&gt;=2,"OK","LOW")</f>
        <v>OK</v>
      </c>
      <c r="R20" s="9" t="str">
        <f aca="false">IF(MIN(R16:R18)&gt;=2,"OK","LOW")</f>
        <v>OK</v>
      </c>
      <c r="S20" s="9" t="str">
        <f aca="false">IF(MIN(S16:S18)&gt;=2,"OK","LOW")</f>
        <v>OK</v>
      </c>
      <c r="T20" s="9" t="str">
        <f aca="false">IF(MIN(T16:T18)&gt;=2,"OK","LOW")</f>
        <v>OK</v>
      </c>
      <c r="U20" s="9" t="str">
        <f aca="false">IF(MIN(U16:U18)&gt;=2,"OK","LOW")</f>
        <v>OK</v>
      </c>
      <c r="V20" s="9" t="str">
        <f aca="false">IF(MIN(V16:V18)&gt;=2,"OK","LOW")</f>
        <v>OK</v>
      </c>
      <c r="W20" s="9" t="str">
        <f aca="false">IF(MIN(W16:W18)&gt;=2,"OK","LOW")</f>
        <v>OK</v>
      </c>
      <c r="X20" s="9" t="str">
        <f aca="false">IF(MIN(X16:X18)&gt;=2,"OK","LOW")</f>
        <v>OK</v>
      </c>
      <c r="Y20" s="9" t="str">
        <f aca="false">IF(MIN(Y16:Y18)&gt;=2,"OK","LOW")</f>
        <v>OK</v>
      </c>
      <c r="Z20" s="9" t="str">
        <f aca="false">IF(MIN(Z16:Z18)&gt;=2,"OK","LOW")</f>
        <v>OK</v>
      </c>
      <c r="AA20" s="9" t="str">
        <f aca="false">IF(MIN(AA16:AA18)&gt;=2,"OK","LOW")</f>
        <v>OK</v>
      </c>
      <c r="AB20" s="9" t="str">
        <f aca="false">IF(MIN(AB16:AB18)&gt;=2,"OK","LOW")</f>
        <v>OK</v>
      </c>
      <c r="AC20" s="9" t="str">
        <f aca="false">IF(MIN(AC16:AC18)&gt;=2,"OK","LOW")</f>
        <v>OK</v>
      </c>
      <c r="AD20" s="9" t="str">
        <f aca="false">IF(MIN(AD16:AD18)&gt;=2,"OK","LOW")</f>
        <v>OK</v>
      </c>
      <c r="AE20" s="9" t="str">
        <f aca="false">IF(MIN(AE16:AE18)&gt;=2,"OK","LOW")</f>
        <v>OK</v>
      </c>
      <c r="AF20" s="9" t="str">
        <f aca="false">IF(MIN(AF16:AF18)&gt;=2,"OK","LOW")</f>
        <v>OK</v>
      </c>
      <c r="AG20" s="9" t="str">
        <f aca="false">IF(MIN(AG16:AG18)&gt;=2,"OK","LOW")</f>
        <v>OK</v>
      </c>
    </row>
    <row r="23" customFormat="false" ht="15" hidden="false" customHeight="true" outlineLevel="0" collapsed="false">
      <c r="B23" s="4" t="s">
        <v>44</v>
      </c>
      <c r="C23" s="19" t="s">
        <v>67</v>
      </c>
    </row>
    <row r="24" customFormat="false" ht="15" hidden="false" customHeight="true" outlineLevel="0" collapsed="false">
      <c r="B24" s="6" t="s">
        <v>45</v>
      </c>
      <c r="C24" s="19" t="s">
        <v>68</v>
      </c>
    </row>
    <row r="25" customFormat="false" ht="15" hidden="false" customHeight="true" outlineLevel="0" collapsed="false">
      <c r="B25" s="7" t="s">
        <v>46</v>
      </c>
      <c r="C25" s="19" t="s">
        <v>69</v>
      </c>
    </row>
    <row r="26" customFormat="false" ht="15" hidden="false" customHeight="true" outlineLevel="0" collapsed="false">
      <c r="B26" s="15" t="s">
        <v>55</v>
      </c>
      <c r="C26" s="19" t="s">
        <v>70</v>
      </c>
    </row>
    <row r="28" customFormat="false" ht="15" hidden="false" customHeight="true" outlineLevel="0" collapsed="false">
      <c r="B28" s="20" t="s">
        <v>71</v>
      </c>
    </row>
    <row r="29" customFormat="false" ht="15" hidden="false" customHeight="true" outlineLevel="0" collapsed="false">
      <c r="B29" s="19" t="s">
        <v>72</v>
      </c>
    </row>
    <row r="30" customFormat="false" ht="15" hidden="false" customHeight="true" outlineLevel="0" collapsed="false">
      <c r="B30" s="19" t="s">
        <v>73</v>
      </c>
    </row>
    <row r="31" customFormat="false" ht="15" hidden="false" customHeight="true" outlineLevel="0" collapsed="false">
      <c r="B31" s="19" t="s">
        <v>74</v>
      </c>
    </row>
    <row r="32" customFormat="false" ht="15" hidden="false" customHeight="true" outlineLevel="0" collapsed="false">
      <c r="B32" s="19" t="s">
        <v>75</v>
      </c>
    </row>
  </sheetData>
  <mergeCells count="7">
    <mergeCell ref="A1:H1"/>
    <mergeCell ref="A2:A4"/>
    <mergeCell ref="B2:B4"/>
    <mergeCell ref="AH2:AJ2"/>
    <mergeCell ref="AK2:AK3"/>
    <mergeCell ref="AL2:AL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2026-09-02T08:06:25Z</dcterms:created>
  <dc:creator>openpyxl</dc:creator>
  <dc:description/>
  <dc:language>en-US</dc:language>
  <cp:lastModifiedBy/>
  <dcterms:modified xsi:type="dcterms:W3CDTF">2026-09-02T08:06:34Z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